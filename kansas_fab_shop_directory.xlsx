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lukepardue/Downloads/"/>
    </mc:Choice>
  </mc:AlternateContent>
  <xr:revisionPtr revIDLastSave="0" documentId="13_ncr:1_{F8162FC3-1A3C-E942-A758-818826ADC342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fab_shops" sheetId="1" r:id="rId1"/>
    <sheet name="summary" sheetId="2" r:id="rId2"/>
    <sheet name="data_dictionary" sheetId="3" r:id="rId3"/>
    <sheet name="sql_project_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</calcChain>
</file>

<file path=xl/sharedStrings.xml><?xml version="1.0" encoding="utf-8"?>
<sst xmlns="http://schemas.openxmlformats.org/spreadsheetml/2006/main" count="139" uniqueCount="107">
  <si>
    <t>shop_id</t>
  </si>
  <si>
    <t>company_name</t>
  </si>
  <si>
    <t>location</t>
  </si>
  <si>
    <t>company_size</t>
  </si>
  <si>
    <t>specialization</t>
  </si>
  <si>
    <t>source_url</t>
  </si>
  <si>
    <t>Shawnee Steel &amp; Welding</t>
  </si>
  <si>
    <t>Merriam, KS</t>
  </si>
  <si>
    <t>Unknown</t>
  </si>
  <si>
    <t>Structural steel; industrial steel; bridge railings; bridge joints; traffic barriers; stormwater solutions; architecturally exposed structural steel (AESS)</t>
  </si>
  <si>
    <t>https://shawnee-steel.com/</t>
  </si>
  <si>
    <t>HME, Inc. / Haas Metal Engineering</t>
  </si>
  <si>
    <t>Topeka / Perry, KS</t>
  </si>
  <si>
    <t>Large</t>
  </si>
  <si>
    <t>Structural steel; custom metal fabrication; steel erection; construction steel</t>
  </si>
  <si>
    <t>https://hmeinc.net/</t>
  </si>
  <si>
    <t>PTMW, Inc.</t>
  </si>
  <si>
    <t>Topeka / Manhattan, KS</t>
  </si>
  <si>
    <t>OEM metal enclosures; steel and aluminum enclosures; cases; small parts; equipment manufacturing</t>
  </si>
  <si>
    <t>https://www.ptmw.com/</t>
  </si>
  <si>
    <t>Unique Metal Fabrications, Inc.</t>
  </si>
  <si>
    <t>Pittsburg, KS</t>
  </si>
  <si>
    <t>Small</t>
  </si>
  <si>
    <t>Structural steel fabrication; cutting; bending; forming; punching; welding</t>
  </si>
  <si>
    <t>https://umfi.com/</t>
  </si>
  <si>
    <t>Specialty Fabrication, Inc.</t>
  </si>
  <si>
    <t>Wichita, KS</t>
  </si>
  <si>
    <t>Steel fabrication; stainless steel fabrication; alloy fabrication; foodservice equipment fabrication</t>
  </si>
  <si>
    <t>https://www.thomasnet.com/suppliers/kansas/all-cities/metal-fabrication-50550409</t>
  </si>
  <si>
    <t>Universal Machining &amp; Sheet Metal, Inc.</t>
  </si>
  <si>
    <t>Machining; sheet metal fabrication; forming; aerospace work</t>
  </si>
  <si>
    <t>H &amp; R Parts Co., Inc.</t>
  </si>
  <si>
    <t>MIG/TIG welding; assembly; press brake forming; rolling; plasma cutting; CNC machining</t>
  </si>
  <si>
    <t>South Industrial Sheet Metal Co.</t>
  </si>
  <si>
    <t>Salina, KS</t>
  </si>
  <si>
    <t>Sheet metal fabrication; welding; laser cutting; CAD design; installation</t>
  </si>
  <si>
    <t>https://www.thomasnet.com/suppliers/kansas/all-cities/steel-fabrication-79941605</t>
  </si>
  <si>
    <t>Kemlee Mfg Inc.</t>
  </si>
  <si>
    <t>Galena, KS</t>
  </si>
  <si>
    <t>Custom metal fabrication; manufacturing</t>
  </si>
  <si>
    <t>PCI Metals</t>
  </si>
  <si>
    <t>Lenexa, KS</t>
  </si>
  <si>
    <t>Light and heavy gauge metal fabrication; laser cutting; forming; welding</t>
  </si>
  <si>
    <t>TSC Specialty Metals</t>
  </si>
  <si>
    <t>Full-service custom metal fabrication; stainless steel; carbon steel; aluminum; machining; forming</t>
  </si>
  <si>
    <t>https://www.tsc-fab.com/</t>
  </si>
  <si>
    <t>Metal One</t>
  </si>
  <si>
    <t>Overland Park / Kansas City Area</t>
  </si>
  <si>
    <t>Custom residential and commercial metal fabrication; waterjet cutting; architectural metal</t>
  </si>
  <si>
    <t>https://www.metal1kc.com/</t>
  </si>
  <si>
    <t>Town &amp; Country Sheet Metal</t>
  </si>
  <si>
    <t>Shawnee, KS</t>
  </si>
  <si>
    <t>Guttering; custom metal fabrication; sheet metal work</t>
  </si>
  <si>
    <t>https://www.townandcountrysheetmetal.com/</t>
  </si>
  <si>
    <t>Temp-Con Sheet Metal Fabrication</t>
  </si>
  <si>
    <t>Kansas City Area</t>
  </si>
  <si>
    <t>Midsize</t>
  </si>
  <si>
    <t>HVAC ductwork; fittings; custom sheet metal components; forming; bending; laser cutting; welding</t>
  </si>
  <si>
    <t>https://tempconkc.com/sheet-metal-fabrication/</t>
  </si>
  <si>
    <t>Gieske Custom Metal Fabricators</t>
  </si>
  <si>
    <t>Custom commercial and residential metal fabrication; ventilation fabrication; decorative/custom metal work</t>
  </si>
  <si>
    <t>https://gieske.com/</t>
  </si>
  <si>
    <t>Kansas Metal Fabrication Company Directory Database</t>
  </si>
  <si>
    <t>Project Purpose</t>
  </si>
  <si>
    <t>Build a SQL-ready directory of Kansas metal fabrication companies by name, location, size, and specialization.</t>
  </si>
  <si>
    <t>Main Table Name</t>
  </si>
  <si>
    <t>kansas_fab_shops</t>
  </si>
  <si>
    <t>Rows Included</t>
  </si>
  <si>
    <t>Size Categories</t>
  </si>
  <si>
    <t>Small = 1-49 employees; Midsize = 50-199 employees; Large = 200+ employees; Unknown = not clearly verified</t>
  </si>
  <si>
    <t>Note</t>
  </si>
  <si>
    <t>Source URLs are included so the project can be documented honestly on GitHub/resume.</t>
  </si>
  <si>
    <t>formula_count</t>
  </si>
  <si>
    <t>use_in_sql</t>
  </si>
  <si>
    <t>Filter and group smaller shops</t>
  </si>
  <si>
    <t>Filter and group midsize shops</t>
  </si>
  <si>
    <t>Filter and group large shops</t>
  </si>
  <si>
    <t>Find records that need more research</t>
  </si>
  <si>
    <t>field_name</t>
  </si>
  <si>
    <t>data_type_for_sql</t>
  </si>
  <si>
    <t>description</t>
  </si>
  <si>
    <t>INT PRIMARY KEY</t>
  </si>
  <si>
    <t>Unique ID for each fabrication company</t>
  </si>
  <si>
    <t>VARCHAR(150)</t>
  </si>
  <si>
    <t>Name of the Kansas fab shop</t>
  </si>
  <si>
    <t>VARCHAR(100)</t>
  </si>
  <si>
    <t>City/area and state</t>
  </si>
  <si>
    <t>VARCHAR(25)</t>
  </si>
  <si>
    <t>Small, Midsize, Large, or Unknown</t>
  </si>
  <si>
    <t>TEXT</t>
  </si>
  <si>
    <t>Main fabrication services or type of work</t>
  </si>
  <si>
    <t>Plain-text source URL used for verification/documentation</t>
  </si>
  <si>
    <t>item</t>
  </si>
  <si>
    <t>content</t>
  </si>
  <si>
    <t>Suggested table name</t>
  </si>
  <si>
    <t>Suggested columns</t>
  </si>
  <si>
    <t>shop_id, company_name, location, company_size, specialization, source_url</t>
  </si>
  <si>
    <t>Query idea 1</t>
  </si>
  <si>
    <t>Show all shops sorted alphabetically by company_name</t>
  </si>
  <si>
    <t>Query idea 2</t>
  </si>
  <si>
    <t>Filter all shops where specialization contains 'structural steel'</t>
  </si>
  <si>
    <t>Query idea 3</t>
  </si>
  <si>
    <t>Count shops by company_size</t>
  </si>
  <si>
    <t>Query idea 4</t>
  </si>
  <si>
    <t>Find rows where company_size = 'Unknown'</t>
  </si>
  <si>
    <t>Query idea 5</t>
  </si>
  <si>
    <t>Group shops by location or city/area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</si>
</sst>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bShopsTable" displayName="FabShopsTable" ref="A1:F16">
  <tableColumns count="6">
    <tableColumn id="1" xr3:uid="{00000000-0010-0000-0000-000001000000}" name="shop_id"/>
    <tableColumn id="2" xr3:uid="{00000000-0010-0000-0000-000002000000}" name="company_name"/>
    <tableColumn id="3" xr3:uid="{00000000-0010-0000-0000-000003000000}" name="location"/>
    <tableColumn id="4" xr3:uid="{00000000-0010-0000-0000-000004000000}" name="company_size"/>
    <tableColumn id="5" xr3:uid="{00000000-0010-0000-0000-000005000000}" name="specialization"/>
    <tableColumn id="6" xr3:uid="{00000000-0010-0000-0000-000006000000}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zeSummaryTable" displayName="SizeSummaryTable" ref="A10:C14">
  <tableColumns count="3">
    <tableColumn id="1" xr3:uid="{00000000-0010-0000-0100-000001000000}" name="company_size"/>
    <tableColumn id="2" xr3:uid="{00000000-0010-0000-0100-000002000000}" name="formula_count"/>
    <tableColumn id="3" xr3:uid="{00000000-0010-0000-0100-000003000000}" name="use_in_sq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DictionaryTable" displayName="DataDictionaryTable" ref="A1:C7">
  <tableColumns count="3">
    <tableColumn id="1" xr3:uid="{00000000-0010-0000-0200-000001000000}" name="field_name"/>
    <tableColumn id="2" xr3:uid="{00000000-0010-0000-0200-000002000000}" name="data_type_for_sql"/>
    <tableColumn id="3" xr3:uid="{00000000-0010-0000-0200-000003000000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QLProjectNotesTable" displayName="SQLProjectNotesTable" ref="A1:B8">
  <tableColumns count="2">
    <tableColumn id="1" xr3:uid="{00000000-0010-0000-0300-000001000000}" name="item"/>
    <tableColumn id="2" xr3:uid="{00000000-0010-0000-0300-000002000000}" name="cont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/>
  </sheetViews>
  <sheetFormatPr baseColWidth="10" defaultColWidth="8.83203125" defaultRowHeight="14"/>
  <cols>
    <col min="1" max="1" width="9" customWidth="1"/>
    <col min="2" max="2" width="30" customWidth="1"/>
    <col min="3" max="3" width="28" customWidth="1"/>
    <col min="4" max="4" width="16" customWidth="1"/>
    <col min="5" max="5" width="55" customWidth="1"/>
    <col min="6" max="6" width="45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0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30">
      <c r="A4" s="2">
        <v>3</v>
      </c>
      <c r="B4" s="2" t="s">
        <v>16</v>
      </c>
      <c r="C4" s="2" t="s">
        <v>17</v>
      </c>
      <c r="D4" s="2" t="s">
        <v>13</v>
      </c>
      <c r="E4" s="2" t="s">
        <v>18</v>
      </c>
      <c r="F4" s="2" t="s">
        <v>19</v>
      </c>
    </row>
    <row r="5" spans="1:6" ht="30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30">
      <c r="A6" s="2">
        <v>5</v>
      </c>
      <c r="B6" s="2" t="s">
        <v>25</v>
      </c>
      <c r="C6" s="2" t="s">
        <v>26</v>
      </c>
      <c r="D6" s="2" t="s">
        <v>22</v>
      </c>
      <c r="E6" s="2" t="s">
        <v>27</v>
      </c>
      <c r="F6" s="2" t="s">
        <v>28</v>
      </c>
    </row>
    <row r="7" spans="1:6" ht="30">
      <c r="A7" s="2">
        <v>6</v>
      </c>
      <c r="B7" s="2" t="s">
        <v>29</v>
      </c>
      <c r="C7" s="2" t="s">
        <v>26</v>
      </c>
      <c r="D7" s="2" t="s">
        <v>22</v>
      </c>
      <c r="E7" s="2" t="s">
        <v>30</v>
      </c>
      <c r="F7" s="2" t="s">
        <v>28</v>
      </c>
    </row>
    <row r="8" spans="1:6" ht="30">
      <c r="A8" s="2">
        <v>7</v>
      </c>
      <c r="B8" s="2" t="s">
        <v>31</v>
      </c>
      <c r="C8" s="2" t="s">
        <v>26</v>
      </c>
      <c r="D8" s="2" t="s">
        <v>22</v>
      </c>
      <c r="E8" s="2" t="s">
        <v>32</v>
      </c>
      <c r="F8" s="2" t="s">
        <v>28</v>
      </c>
    </row>
    <row r="9" spans="1:6" ht="30">
      <c r="A9" s="2">
        <v>8</v>
      </c>
      <c r="B9" s="2" t="s">
        <v>33</v>
      </c>
      <c r="C9" s="2" t="s">
        <v>34</v>
      </c>
      <c r="D9" s="2" t="s">
        <v>22</v>
      </c>
      <c r="E9" s="2" t="s">
        <v>35</v>
      </c>
      <c r="F9" s="2" t="s">
        <v>36</v>
      </c>
    </row>
    <row r="10" spans="1:6" ht="30">
      <c r="A10" s="2">
        <v>9</v>
      </c>
      <c r="B10" s="2" t="s">
        <v>37</v>
      </c>
      <c r="C10" s="2" t="s">
        <v>38</v>
      </c>
      <c r="D10" s="2" t="s">
        <v>22</v>
      </c>
      <c r="E10" s="2" t="s">
        <v>39</v>
      </c>
      <c r="F10" s="2" t="s">
        <v>28</v>
      </c>
    </row>
    <row r="11" spans="1:6" ht="30">
      <c r="A11" s="2">
        <v>10</v>
      </c>
      <c r="B11" s="2" t="s">
        <v>40</v>
      </c>
      <c r="C11" s="2" t="s">
        <v>41</v>
      </c>
      <c r="D11" s="2" t="s">
        <v>8</v>
      </c>
      <c r="E11" s="2" t="s">
        <v>42</v>
      </c>
      <c r="F11" s="2" t="s">
        <v>28</v>
      </c>
    </row>
    <row r="12" spans="1:6" ht="30">
      <c r="A12" s="2">
        <v>11</v>
      </c>
      <c r="B12" s="2" t="s">
        <v>43</v>
      </c>
      <c r="C12" s="2" t="s">
        <v>41</v>
      </c>
      <c r="D12" s="2" t="s">
        <v>22</v>
      </c>
      <c r="E12" s="2" t="s">
        <v>44</v>
      </c>
      <c r="F12" s="2" t="s">
        <v>45</v>
      </c>
    </row>
    <row r="13" spans="1:6" ht="30">
      <c r="A13" s="2">
        <v>12</v>
      </c>
      <c r="B13" s="2" t="s">
        <v>46</v>
      </c>
      <c r="C13" s="2" t="s">
        <v>47</v>
      </c>
      <c r="D13" s="2" t="s">
        <v>22</v>
      </c>
      <c r="E13" s="2" t="s">
        <v>48</v>
      </c>
      <c r="F13" s="2" t="s">
        <v>49</v>
      </c>
    </row>
    <row r="14" spans="1:6" ht="15">
      <c r="A14" s="2">
        <v>13</v>
      </c>
      <c r="B14" s="2" t="s">
        <v>50</v>
      </c>
      <c r="C14" s="2" t="s">
        <v>51</v>
      </c>
      <c r="D14" s="2" t="s">
        <v>8</v>
      </c>
      <c r="E14" s="2" t="s">
        <v>52</v>
      </c>
      <c r="F14" s="2" t="s">
        <v>53</v>
      </c>
    </row>
    <row r="15" spans="1:6" ht="30">
      <c r="A15" s="2">
        <v>14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58</v>
      </c>
    </row>
    <row r="16" spans="1:6" ht="30">
      <c r="A16" s="2">
        <v>15</v>
      </c>
      <c r="B16" s="2" t="s">
        <v>59</v>
      </c>
      <c r="C16" s="2" t="s">
        <v>55</v>
      </c>
      <c r="D16" s="2" t="s">
        <v>22</v>
      </c>
      <c r="E16" s="2" t="s">
        <v>60</v>
      </c>
      <c r="F16" s="2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8.83203125" defaultRowHeight="14"/>
  <cols>
    <col min="1" max="1" width="22" customWidth="1"/>
    <col min="2" max="2" width="20" customWidth="1"/>
    <col min="3" max="3" width="35" customWidth="1"/>
  </cols>
  <sheetData>
    <row r="1" spans="1:4" ht="37.25" customHeight="1">
      <c r="A1" s="5" t="s">
        <v>62</v>
      </c>
      <c r="B1" s="6"/>
      <c r="C1" s="6"/>
      <c r="D1" s="6"/>
    </row>
    <row r="3" spans="1:4" ht="91">
      <c r="A3" s="3" t="s">
        <v>63</v>
      </c>
      <c r="B3" s="2" t="s">
        <v>64</v>
      </c>
    </row>
    <row r="4" spans="1:4" ht="16">
      <c r="A4" s="3" t="s">
        <v>65</v>
      </c>
      <c r="B4" s="2" t="s">
        <v>66</v>
      </c>
    </row>
    <row r="5" spans="1:4" ht="16">
      <c r="A5" s="3" t="s">
        <v>67</v>
      </c>
      <c r="B5" s="2">
        <v>15</v>
      </c>
    </row>
    <row r="6" spans="1:4" ht="91">
      <c r="A6" s="3" t="s">
        <v>68</v>
      </c>
      <c r="B6" s="2" t="s">
        <v>69</v>
      </c>
    </row>
    <row r="7" spans="1:4" ht="76">
      <c r="A7" s="3" t="s">
        <v>70</v>
      </c>
      <c r="B7" s="2" t="s">
        <v>71</v>
      </c>
    </row>
    <row r="10" spans="1:4" ht="16">
      <c r="A10" s="4" t="s">
        <v>3</v>
      </c>
      <c r="B10" s="4" t="s">
        <v>72</v>
      </c>
      <c r="C10" s="4" t="s">
        <v>73</v>
      </c>
    </row>
    <row r="11" spans="1:4" ht="15">
      <c r="A11" s="2" t="s">
        <v>22</v>
      </c>
      <c r="B11" s="2">
        <f>COUNTIF(fab_shops!D:D,"Small")</f>
        <v>9</v>
      </c>
      <c r="C11" s="2" t="s">
        <v>74</v>
      </c>
    </row>
    <row r="12" spans="1:4" ht="15">
      <c r="A12" s="2" t="s">
        <v>56</v>
      </c>
      <c r="B12" s="2">
        <f>COUNTIF(fab_shops!D:D,"Midsize")</f>
        <v>1</v>
      </c>
      <c r="C12" s="2" t="s">
        <v>75</v>
      </c>
    </row>
    <row r="13" spans="1:4" ht="15">
      <c r="A13" s="2" t="s">
        <v>13</v>
      </c>
      <c r="B13" s="2">
        <f>COUNTIF(fab_shops!D:D,"Large")</f>
        <v>2</v>
      </c>
      <c r="C13" s="2" t="s">
        <v>76</v>
      </c>
    </row>
    <row r="14" spans="1:4" ht="15">
      <c r="A14" s="2" t="s">
        <v>8</v>
      </c>
      <c r="B14" s="2">
        <f>COUNTIF(fab_shops!D:D,"Unknown")</f>
        <v>3</v>
      </c>
      <c r="C14" s="2" t="s">
        <v>77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ColWidth="8.83203125" defaultRowHeight="14"/>
  <cols>
    <col min="1" max="2" width="22" customWidth="1"/>
    <col min="3" max="3" width="70" customWidth="1"/>
  </cols>
  <sheetData>
    <row r="1" spans="1:3" ht="16">
      <c r="A1" s="4" t="s">
        <v>78</v>
      </c>
      <c r="B1" s="4" t="s">
        <v>79</v>
      </c>
      <c r="C1" s="4" t="s">
        <v>80</v>
      </c>
    </row>
    <row r="2" spans="1:3">
      <c r="A2" t="s">
        <v>0</v>
      </c>
      <c r="B2" t="s">
        <v>81</v>
      </c>
      <c r="C2" t="s">
        <v>82</v>
      </c>
    </row>
    <row r="3" spans="1:3">
      <c r="A3" t="s">
        <v>1</v>
      </c>
      <c r="B3" t="s">
        <v>83</v>
      </c>
      <c r="C3" t="s">
        <v>84</v>
      </c>
    </row>
    <row r="4" spans="1:3">
      <c r="A4" t="s">
        <v>2</v>
      </c>
      <c r="B4" t="s">
        <v>85</v>
      </c>
      <c r="C4" t="s">
        <v>86</v>
      </c>
    </row>
    <row r="5" spans="1:3">
      <c r="A5" t="s">
        <v>3</v>
      </c>
      <c r="B5" t="s">
        <v>87</v>
      </c>
      <c r="C5" t="s">
        <v>88</v>
      </c>
    </row>
    <row r="6" spans="1:3">
      <c r="A6" t="s">
        <v>4</v>
      </c>
      <c r="B6" t="s">
        <v>89</v>
      </c>
      <c r="C6" t="s">
        <v>90</v>
      </c>
    </row>
    <row r="7" spans="1:3">
      <c r="A7" t="s">
        <v>5</v>
      </c>
      <c r="B7" t="s">
        <v>89</v>
      </c>
      <c r="C7" t="s">
        <v>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8.83203125" defaultRowHeight="14"/>
  <cols>
    <col min="1" max="1" width="25" customWidth="1"/>
    <col min="2" max="2" width="90" customWidth="1"/>
  </cols>
  <sheetData>
    <row r="1" spans="1:2" ht="16">
      <c r="A1" s="4" t="s">
        <v>92</v>
      </c>
      <c r="B1" s="4" t="s">
        <v>93</v>
      </c>
    </row>
    <row r="2" spans="1:2">
      <c r="A2" t="s">
        <v>94</v>
      </c>
      <c r="B2" t="s">
        <v>66</v>
      </c>
    </row>
    <row r="3" spans="1:2">
      <c r="A3" t="s">
        <v>95</v>
      </c>
      <c r="B3" t="s">
        <v>96</v>
      </c>
    </row>
    <row r="4" spans="1:2">
      <c r="A4" t="s">
        <v>97</v>
      </c>
      <c r="B4" t="s">
        <v>98</v>
      </c>
    </row>
    <row r="5" spans="1:2">
      <c r="A5" t="s">
        <v>99</v>
      </c>
      <c r="B5" t="s">
        <v>100</v>
      </c>
    </row>
    <row r="6" spans="1:2">
      <c r="A6" t="s">
        <v>101</v>
      </c>
      <c r="B6" t="s">
        <v>102</v>
      </c>
    </row>
    <row r="7" spans="1:2">
      <c r="A7" t="s">
        <v>103</v>
      </c>
      <c r="B7" t="s">
        <v>104</v>
      </c>
    </row>
    <row r="8" spans="1:2">
      <c r="A8" t="s">
        <v>105</v>
      </c>
      <c r="B8" t="s"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fab_shops</vt:lpstr>
      <vt:lpstr>summary</vt:lpstr>
      <vt:lpstr>data_dictionary</vt:lpstr>
      <vt:lpstr>sql_project_notes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Pardue</cp:lastModifiedBy>
  <dcterms:modified xsi:type="dcterms:W3CDTF">2026-06-11T17:28:17Z</dcterms:modified>
</cp:coreProperties>
</file>